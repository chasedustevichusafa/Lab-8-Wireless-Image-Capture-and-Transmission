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usafa0-my.sharepoint.com/personal/c27chase_dustevich_afacademy_af_edu/Documents/Documents/Class Files/Senior/Semester 1/Astro 331/Lab 4/"/>
    </mc:Choice>
  </mc:AlternateContent>
  <xr:revisionPtr revIDLastSave="106" documentId="8_{8E3E3917-56DD-47D7-9FC6-643217439111}" xr6:coauthVersionLast="47" xr6:coauthVersionMax="47" xr10:uidLastSave="{CA0A9358-9504-418E-B99F-A605DDB2AD3C}"/>
  <bookViews>
    <workbookView xWindow="-113" yWindow="-113" windowWidth="24267" windowHeight="14526" xr2:uid="{0261747A-B21A-48F4-9F60-80AE30E1603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/>
  <c r="A5" i="1"/>
  <c r="A12" i="1"/>
  <c r="A13" i="1"/>
  <c r="A14" i="1"/>
  <c r="A15" i="1"/>
  <c r="A16" i="1"/>
  <c r="A18" i="1"/>
  <c r="A19" i="1"/>
  <c r="A2" i="1"/>
  <c r="B8" i="1"/>
  <c r="A8" i="1" s="1"/>
  <c r="B7" i="1"/>
  <c r="A7" i="1" s="1"/>
  <c r="B24" i="1"/>
  <c r="A24" i="1" s="1"/>
  <c r="B23" i="1"/>
  <c r="A23" i="1" s="1"/>
  <c r="B22" i="1"/>
  <c r="A22" i="1" s="1"/>
  <c r="B21" i="1"/>
  <c r="A21" i="1" s="1"/>
  <c r="B20" i="1"/>
  <c r="A20" i="1" s="1"/>
  <c r="B19" i="1"/>
  <c r="B18" i="1"/>
  <c r="B17" i="1"/>
  <c r="A17" i="1" s="1"/>
  <c r="B16" i="1"/>
  <c r="B15" i="1"/>
  <c r="B14" i="1"/>
  <c r="B13" i="1"/>
  <c r="B12" i="1"/>
  <c r="B11" i="1"/>
  <c r="A11" i="1" s="1"/>
  <c r="B10" i="1"/>
  <c r="A10" i="1" s="1"/>
  <c r="B9" i="1"/>
  <c r="A9" i="1" s="1"/>
</calcChain>
</file>

<file path=xl/sharedStrings.xml><?xml version="1.0" encoding="utf-8"?>
<sst xmlns="http://schemas.openxmlformats.org/spreadsheetml/2006/main" count="19" uniqueCount="16">
  <si>
    <t>Tzo Blocks</t>
  </si>
  <si>
    <t>Distance (m)</t>
  </si>
  <si>
    <t>Antenna</t>
  </si>
  <si>
    <t>Details</t>
  </si>
  <si>
    <t>PCB</t>
  </si>
  <si>
    <t>Details:</t>
  </si>
  <si>
    <t>Tzo Block (m):</t>
  </si>
  <si>
    <t>Possible sources of error:</t>
  </si>
  <si>
    <t>interference from metal</t>
  </si>
  <si>
    <t>antennas on the ground</t>
  </si>
  <si>
    <t>people moving around</t>
  </si>
  <si>
    <t>phones moving around</t>
  </si>
  <si>
    <t>wifi in different areas</t>
  </si>
  <si>
    <t>underground metals</t>
  </si>
  <si>
    <t>sometimes signal, light toggle works</t>
  </si>
  <si>
    <t>no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</si>
</sst>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3C73-E55B-484D-8CAD-411E634BD770}">
  <dimension ref="A1:H24"/>
  <sheetViews>
    <sheetView tabSelected="1" workbookViewId="0">
      <selection activeCell="G10" sqref="G10"/>
    </sheetView>
  </sheetViews>
  <sheetFormatPr defaultRowHeight="15"/>
  <cols>
    <col min="1" max="1" width="9.28515625" bestFit="1" customWidth="1"/>
    <col min="2" max="2" width="11.140625" bestFit="1" customWidth="1"/>
    <col min="4" max="4" width="29.85546875" bestFit="1" customWidth="1"/>
    <col min="6" max="6" width="29.85546875" bestFit="1" customWidth="1"/>
    <col min="7" max="7" width="21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8.5</v>
      </c>
    </row>
    <row r="2" spans="1:8">
      <c r="A2">
        <f>B2/$H$1</f>
        <v>5.8823529411764705E-2</v>
      </c>
      <c r="B2">
        <v>0.5</v>
      </c>
      <c r="C2">
        <v>-23</v>
      </c>
      <c r="E2">
        <v>-35</v>
      </c>
    </row>
    <row r="3" spans="1:8">
      <c r="A3">
        <f>B3/$H$1</f>
        <v>0.11764705882352941</v>
      </c>
      <c r="B3">
        <v>1</v>
      </c>
      <c r="C3">
        <v>-30</v>
      </c>
      <c r="E3">
        <v>-40</v>
      </c>
      <c r="G3" t="s">
        <v>7</v>
      </c>
    </row>
    <row r="4" spans="1:8">
      <c r="A4">
        <f>B4/$H$1</f>
        <v>0.23529411764705882</v>
      </c>
      <c r="B4">
        <v>2</v>
      </c>
      <c r="C4">
        <v>-36</v>
      </c>
      <c r="E4">
        <v>-52</v>
      </c>
      <c r="G4" t="s">
        <v>8</v>
      </c>
    </row>
    <row r="5" spans="1:8">
      <c r="A5">
        <f>B5/$H$1</f>
        <v>0.58823529411764708</v>
      </c>
      <c r="B5">
        <v>5</v>
      </c>
      <c r="C5">
        <v>-52</v>
      </c>
      <c r="E5">
        <v>-62</v>
      </c>
      <c r="G5" t="s">
        <v>9</v>
      </c>
    </row>
    <row r="6" spans="1:8">
      <c r="G6" t="s">
        <v>10</v>
      </c>
    </row>
    <row r="7" spans="1:8">
      <c r="A7">
        <f>B7/$H$1</f>
        <v>1</v>
      </c>
      <c r="B7">
        <f>1*H1</f>
        <v>8.5</v>
      </c>
      <c r="C7">
        <v>-61</v>
      </c>
      <c r="E7">
        <v>-64</v>
      </c>
      <c r="G7" t="s">
        <v>11</v>
      </c>
    </row>
    <row r="8" spans="1:8">
      <c r="A8">
        <f>B8/$H$1</f>
        <v>2</v>
      </c>
      <c r="B8">
        <f>2*H1</f>
        <v>17</v>
      </c>
      <c r="C8">
        <v>-62</v>
      </c>
      <c r="E8">
        <v>-80</v>
      </c>
      <c r="G8" t="s">
        <v>12</v>
      </c>
    </row>
    <row r="9" spans="1:8">
      <c r="A9">
        <f>B9/$H$1</f>
        <v>3</v>
      </c>
      <c r="B9">
        <f>3*H1</f>
        <v>25.5</v>
      </c>
      <c r="C9">
        <v>-55</v>
      </c>
      <c r="E9">
        <v>-64</v>
      </c>
      <c r="G9" t="s">
        <v>13</v>
      </c>
    </row>
    <row r="10" spans="1:8">
      <c r="A10">
        <f>B10/$H$1</f>
        <v>4</v>
      </c>
      <c r="B10">
        <f>4*H1</f>
        <v>34</v>
      </c>
      <c r="C10">
        <v>-61</v>
      </c>
      <c r="E10">
        <v>-66</v>
      </c>
    </row>
    <row r="11" spans="1:8">
      <c r="A11">
        <f>B11/$H$1</f>
        <v>5</v>
      </c>
      <c r="B11">
        <f>5*H1</f>
        <v>42.5</v>
      </c>
      <c r="C11">
        <v>-63</v>
      </c>
      <c r="E11">
        <v>-70</v>
      </c>
    </row>
    <row r="12" spans="1:8">
      <c r="A12">
        <f>B12/$H$1</f>
        <v>6</v>
      </c>
      <c r="B12">
        <f>6*H1</f>
        <v>51</v>
      </c>
      <c r="C12">
        <v>-66</v>
      </c>
      <c r="E12">
        <v>-74</v>
      </c>
    </row>
    <row r="13" spans="1:8">
      <c r="A13">
        <f>B13/$H$1</f>
        <v>7</v>
      </c>
      <c r="B13">
        <f>7*H1</f>
        <v>59.5</v>
      </c>
    </row>
    <row r="14" spans="1:8">
      <c r="A14">
        <f>B14/$H$1</f>
        <v>8</v>
      </c>
      <c r="B14">
        <f>8*H1</f>
        <v>68</v>
      </c>
      <c r="C14">
        <v>-69</v>
      </c>
      <c r="E14">
        <v>-75</v>
      </c>
    </row>
    <row r="15" spans="1:8">
      <c r="A15">
        <f>B15/$H$1</f>
        <v>9</v>
      </c>
      <c r="B15">
        <f>9*H1</f>
        <v>76.5</v>
      </c>
    </row>
    <row r="16" spans="1:8">
      <c r="A16">
        <f>B16/$H$1</f>
        <v>10</v>
      </c>
      <c r="B16">
        <f>10*H1</f>
        <v>85</v>
      </c>
      <c r="C16">
        <v>-70</v>
      </c>
      <c r="E16">
        <v>-75</v>
      </c>
    </row>
    <row r="17" spans="1:6">
      <c r="A17">
        <f>B17/$H$1</f>
        <v>11</v>
      </c>
      <c r="B17">
        <f>11*H1</f>
        <v>93.5</v>
      </c>
    </row>
    <row r="18" spans="1:6">
      <c r="A18">
        <f>B18/$H$1</f>
        <v>12</v>
      </c>
      <c r="B18">
        <f>12*H1</f>
        <v>102</v>
      </c>
      <c r="C18">
        <v>-73</v>
      </c>
      <c r="E18">
        <v>-80</v>
      </c>
    </row>
    <row r="19" spans="1:6">
      <c r="A19">
        <f>B19/$H$1</f>
        <v>13</v>
      </c>
      <c r="B19">
        <f>13*H1</f>
        <v>110.5</v>
      </c>
    </row>
    <row r="20" spans="1:6">
      <c r="A20">
        <f>B20/$H$1</f>
        <v>14</v>
      </c>
      <c r="B20">
        <f>14*H1</f>
        <v>119</v>
      </c>
      <c r="C20">
        <v>-75</v>
      </c>
      <c r="E20">
        <v>-85</v>
      </c>
      <c r="F20" t="s">
        <v>14</v>
      </c>
    </row>
    <row r="21" spans="1:6">
      <c r="A21">
        <f>B21/$H$1</f>
        <v>15</v>
      </c>
      <c r="B21">
        <f>15*H1</f>
        <v>127.5</v>
      </c>
      <c r="C21">
        <v>-80</v>
      </c>
      <c r="D21" t="s">
        <v>14</v>
      </c>
      <c r="F21" t="s">
        <v>15</v>
      </c>
    </row>
    <row r="22" spans="1:6">
      <c r="A22">
        <f>B22/$H$1</f>
        <v>16</v>
      </c>
      <c r="B22">
        <f>16*H1</f>
        <v>136</v>
      </c>
      <c r="C22">
        <v>-80</v>
      </c>
      <c r="D22" t="s">
        <v>14</v>
      </c>
    </row>
    <row r="23" spans="1:6">
      <c r="A23">
        <f>B23/$H$1</f>
        <v>17</v>
      </c>
      <c r="B23">
        <f>17*H1</f>
        <v>144.5</v>
      </c>
      <c r="D23" t="s">
        <v>15</v>
      </c>
    </row>
    <row r="24" spans="1:6">
      <c r="A24">
        <f>B24/$H$1</f>
        <v>18</v>
      </c>
      <c r="B24">
        <f>18*H1</f>
        <v>153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Dustevich, Chase T C1C USAF USAFA CW/CS24</dc:creator>
  <cp:keywords/>
  <dc:description/>
  <cp:lastModifiedBy>Wallace, Colby R C1C USAF USAFA CW/CS12</cp:lastModifiedBy>
  <cp:revision/>
  <dcterms:created xsi:type="dcterms:W3CDTF">2026-09-01T20:59:48Z</dcterms:created>
  <dcterms:modified xsi:type="dcterms:W3CDTF">2026-09-09T15:51:13Z</dcterms:modified>
  <cp:category/>
  <cp:contentStatus/>
</cp:coreProperties>
</file>